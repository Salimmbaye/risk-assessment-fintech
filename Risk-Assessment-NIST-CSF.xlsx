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isk Register" sheetId="2" state="visible" r:id="rId4"/>
    <sheet name="Risk Heatmap" sheetId="3" state="visible" r:id="rId5"/>
    <sheet name="Dashboard" sheetId="4" state="visible" r:id="rId6"/>
    <sheet name="Quantitative (SLE-ALE)" sheetId="5" state="visible" r:id="rId7"/>
  </sheets>
  <definedNames>
    <definedName function="false" hidden="true" localSheetId="1" name="_xlnm._FilterDatabase" vbProcedure="false">'Risk Register'!$A$1:$R$15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<sst xmlns="http://schemas.openxmlformats.org/spreadsheetml/2006/main" count="238" uniqueCount="183">
  <si>
    <t xml:space="preserve">Information Security Risk Assessment — NorthStar Lending (NIST CSF 2.0)</t>
  </si>
  <si>
    <t xml:space="preserve">Fictional fintech. Lab project demonstrating a GRC risk-assessment workflow in Excel.</t>
  </si>
  <si>
    <t xml:space="preserve">How this workbook works</t>
  </si>
  <si>
    <t xml:space="preserve">Risk Register</t>
  </si>
  <si>
    <t xml:space="preserve">The source of truth. Each risk is scored Likelihood x Impact (1-5) before controls (Inherent) and after controls (Residual).</t>
  </si>
  <si>
    <t xml:space="preserve">Inherent Score, Residual Score, and Residual Level are live FORMULAS — change a Likelihood or Impact and everything updates.</t>
  </si>
  <si>
    <t xml:space="preserve">Risk Heatmap</t>
  </si>
  <si>
    <t xml:space="preserve">5x5 grid counting residual risks by Likelihood x Impact. Cells are colored by risk band.</t>
  </si>
  <si>
    <t xml:space="preserve">Dashboard</t>
  </si>
  <si>
    <t xml:space="preserve">Counts by risk level and CSF function, with a chart.</t>
  </si>
  <si>
    <t xml:space="preserve">Quantitative (SLE-ALE)</t>
  </si>
  <si>
    <t xml:space="preserve">Annualized-loss model for a top risk — translates risk into dollars to justify control spend.</t>
  </si>
  <si>
    <t xml:space="preserve">Risk bands</t>
  </si>
  <si>
    <t xml:space="preserve">Score = Likelihood x Impact</t>
  </si>
  <si>
    <t xml:space="preserve">Low 1-4  |  Moderate 5-9  |  High 10-14  |  Critical 15-25</t>
  </si>
  <si>
    <t xml:space="preserve">Method</t>
  </si>
  <si>
    <t xml:space="preserve">Semi-quantitative, aligned to NIST SP 800-30.</t>
  </si>
  <si>
    <t xml:space="preserve">Prepared by</t>
  </si>
  <si>
    <t xml:space="preserve">Salim Mbaye</t>
  </si>
  <si>
    <t xml:space="preserve">Risk ID</t>
  </si>
  <si>
    <t xml:space="preserve">Risk Title</t>
  </si>
  <si>
    <t xml:space="preserve">CSF Function</t>
  </si>
  <si>
    <t xml:space="preserve">Threat Source</t>
  </si>
  <si>
    <t xml:space="preserve">Vulnerability</t>
  </si>
  <si>
    <t xml:space="preserve">Asset Affected</t>
  </si>
  <si>
    <t xml:space="preserve">Inh. L</t>
  </si>
  <si>
    <t xml:space="preserve">Inh. I</t>
  </si>
  <si>
    <t xml:space="preserve">Inherent Score</t>
  </si>
  <si>
    <t xml:space="preserve">Existing Controls</t>
  </si>
  <si>
    <t xml:space="preserve">Control Effectiveness</t>
  </si>
  <si>
    <t xml:space="preserve">Res. L</t>
  </si>
  <si>
    <t xml:space="preserve">Res. I</t>
  </si>
  <si>
    <t xml:space="preserve">Residual Score</t>
  </si>
  <si>
    <t xml:space="preserve">Residual Level</t>
  </si>
  <si>
    <t xml:space="preserve">Risk Owner</t>
  </si>
  <si>
    <t xml:space="preserve">Treatment</t>
  </si>
  <si>
    <t xml:space="preserve">Recommended Controls</t>
  </si>
  <si>
    <t xml:space="preserve">R01</t>
  </si>
  <si>
    <t xml:space="preserve">Phishing leads to credential compromise</t>
  </si>
  <si>
    <t xml:space="preserve">PR</t>
  </si>
  <si>
    <t xml:space="preserve">External attacker</t>
  </si>
  <si>
    <t xml:space="preserve">Staff susceptible to phishing; inconsistent security awareness training</t>
  </si>
  <si>
    <t xml:space="preserve">A7 Endpoints / A8 Identity Provider</t>
  </si>
  <si>
    <t xml:space="preserve">Email filtering; annual security training</t>
  </si>
  <si>
    <t xml:space="preserve">Moderate</t>
  </si>
  <si>
    <t xml:space="preserve">Security Lead</t>
  </si>
  <si>
    <t xml:space="preserve">Mitigate</t>
  </si>
  <si>
    <t xml:space="preserve">Phishing-resistant MFA; quarterly phishing simulations; targeted training</t>
  </si>
  <si>
    <t xml:space="preserve">R02</t>
  </si>
  <si>
    <t xml:space="preserve">Missing MFA on admin and SSO accounts</t>
  </si>
  <si>
    <t xml:space="preserve">External attacker / credential theft</t>
  </si>
  <si>
    <t xml:space="preserve">Administrative and SSO accounts do not enforce MFA</t>
  </si>
  <si>
    <t xml:space="preserve">A8 Identity Provider</t>
  </si>
  <si>
    <t xml:space="preserve">SSO deployed; MFA optional/not enforced</t>
  </si>
  <si>
    <t xml:space="preserve">Low</t>
  </si>
  <si>
    <t xml:space="preserve">IT &amp; Security</t>
  </si>
  <si>
    <t xml:space="preserve">Enforce phishing-resistant MFA on all admin and SSO accounts</t>
  </si>
  <si>
    <t xml:space="preserve">R03</t>
  </si>
  <si>
    <t xml:space="preserve">Insecure customer API exposes financial data</t>
  </si>
  <si>
    <t xml:space="preserve">Loan portal APIs lack strong authN/authZ and rate limiting</t>
  </si>
  <si>
    <t xml:space="preserve">A1 Borrower Portal</t>
  </si>
  <si>
    <t xml:space="preserve">TLS in transit; basic API keys</t>
  </si>
  <si>
    <t xml:space="preserve">Engineering Lead</t>
  </si>
  <si>
    <t xml:space="preserve">OAuth2 + authz checks; rate limiting; WAF; API gateway</t>
  </si>
  <si>
    <t xml:space="preserve">R04</t>
  </si>
  <si>
    <t xml:space="preserve">Ransomware disrupts operations and data</t>
  </si>
  <si>
    <t xml:space="preserve">Cybercriminal group</t>
  </si>
  <si>
    <t xml:space="preserve">Flat network, inconsistent patching, untested backups</t>
  </si>
  <si>
    <t xml:space="preserve">A4 Customer DB / A7 Endpoints</t>
  </si>
  <si>
    <t xml:space="preserve">EDR on some endpoints; cloud backups exist</t>
  </si>
  <si>
    <t xml:space="preserve">IT</t>
  </si>
  <si>
    <t xml:space="preserve">EDR on all endpoints; network segmentation; tested immutable backups</t>
  </si>
  <si>
    <t xml:space="preserve">R05</t>
  </si>
  <si>
    <t xml:space="preserve">Unencrypted sensitive data at rest</t>
  </si>
  <si>
    <t xml:space="preserve">Insider / external attacker</t>
  </si>
  <si>
    <t xml:space="preserve">Some S3 buckets and data exports not encrypted; inconsistent key mgmt</t>
  </si>
  <si>
    <t xml:space="preserve">A5 Cloud Storage (S3)</t>
  </si>
  <si>
    <t xml:space="preserve">RDS encryption enabled; S3 inconsistent</t>
  </si>
  <si>
    <t xml:space="preserve">Cloud Engineering</t>
  </si>
  <si>
    <t xml:space="preserve">Enforce encryption-at-rest org-wide; central KMS; block unencrypted writes</t>
  </si>
  <si>
    <t xml:space="preserve">R06</t>
  </si>
  <si>
    <t xml:space="preserve">Misconfigured cloud storage (public buckets)</t>
  </si>
  <si>
    <t xml:space="preserve">No guardrails preventing public buckets; no cloud posture monitoring</t>
  </si>
  <si>
    <t xml:space="preserve">Manual periodic reviews</t>
  </si>
  <si>
    <t xml:space="preserve">Enable Block Public Access; deploy CSPM; scan IaC before deploy</t>
  </si>
  <si>
    <t xml:space="preserve">R07</t>
  </si>
  <si>
    <t xml:space="preserve">Third-party / vendor breach</t>
  </si>
  <si>
    <t xml:space="preserve">GV</t>
  </si>
  <si>
    <t xml:space="preserve">Vendor / subprocessor compromise</t>
  </si>
  <si>
    <t xml:space="preserve">No formal vendor risk management or vendor inventory</t>
  </si>
  <si>
    <t xml:space="preserve">A6 Corporate SaaS</t>
  </si>
  <si>
    <t xml:space="preserve">Ad-hoc vendor selection</t>
  </si>
  <si>
    <t xml:space="preserve">GRC &amp; Procurement</t>
  </si>
  <si>
    <t xml:space="preserve">Vendor risk program; security questionnaires; DPAs; review vendor SOC 2</t>
  </si>
  <si>
    <t xml:space="preserve">R08</t>
  </si>
  <si>
    <t xml:space="preserve">Insider misuse of customer financial data</t>
  </si>
  <si>
    <t xml:space="preserve">Malicious or negligent insider</t>
  </si>
  <si>
    <t xml:space="preserve">Over-broad access; no least privilege; limited user monitoring</t>
  </si>
  <si>
    <t xml:space="preserve">A2 Underwriting / A4 Customer DB</t>
  </si>
  <si>
    <t xml:space="preserve">Partial role-based access</t>
  </si>
  <si>
    <t xml:space="preserve">Least privilege; periodic access reviews; DLP; user-activity monitoring</t>
  </si>
  <si>
    <t xml:space="preserve">R09</t>
  </si>
  <si>
    <t xml:space="preserve">Inadequate logging and monitoring</t>
  </si>
  <si>
    <t xml:space="preserve">DE</t>
  </si>
  <si>
    <t xml:space="preserve">Any threat source</t>
  </si>
  <si>
    <t xml:space="preserve">No centralized logging or SIEM; detection coverage gaps</t>
  </si>
  <si>
    <t xml:space="preserve">All in-scope systems</t>
  </si>
  <si>
    <t xml:space="preserve">Some cloud logs retained</t>
  </si>
  <si>
    <t xml:space="preserve">Centralized logging; SIEM with alerting; defined log-retention policy</t>
  </si>
  <si>
    <t xml:space="preserve">R10</t>
  </si>
  <si>
    <t xml:space="preserve">No formal incident response plan</t>
  </si>
  <si>
    <t xml:space="preserve">RS</t>
  </si>
  <si>
    <t xml:space="preserve">No documented IR plan, defined roles, or testing</t>
  </si>
  <si>
    <t xml:space="preserve">Informal escalation only</t>
  </si>
  <si>
    <t xml:space="preserve">None</t>
  </si>
  <si>
    <t xml:space="preserve">GRC &amp; Security</t>
  </si>
  <si>
    <t xml:space="preserve">Documented IR plan; roles &amp; runbooks; annual tabletop exercises</t>
  </si>
  <si>
    <t xml:space="preserve">R11</t>
  </si>
  <si>
    <t xml:space="preserve">GLBA Safeguards program gaps</t>
  </si>
  <si>
    <t xml:space="preserve">Regulatory / examiner</t>
  </si>
  <si>
    <t xml:space="preserve">No written security program, risk-assessment cadence, or designated Qualified Individual</t>
  </si>
  <si>
    <t xml:space="preserve">Organization-wide</t>
  </si>
  <si>
    <t xml:space="preserve">Partial, scattered policies</t>
  </si>
  <si>
    <t xml:space="preserve">GRC</t>
  </si>
  <si>
    <t xml:space="preserve">Written information security program; designate Qualified Individual; annual risk assessment</t>
  </si>
  <si>
    <t xml:space="preserve">R12</t>
  </si>
  <si>
    <t xml:space="preserve">Unpatched internet-facing systems</t>
  </si>
  <si>
    <t xml:space="preserve">ID</t>
  </si>
  <si>
    <t xml:space="preserve">No vulnerability management program; irregular patching</t>
  </si>
  <si>
    <t xml:space="preserve">A1 Portal / A3 Payments</t>
  </si>
  <si>
    <t xml:space="preserve">Occasional manual patching</t>
  </si>
  <si>
    <t xml:space="preserve">Vulnerability scanning; patch SLAs; external attack-surface monitoring</t>
  </si>
  <si>
    <t xml:space="preserve">R13</t>
  </si>
  <si>
    <t xml:space="preserve">Backups untested; no DR/BCP</t>
  </si>
  <si>
    <t xml:space="preserve">RC</t>
  </si>
  <si>
    <t xml:space="preserve">Backups exist but restoration never tested; no DR/BCP plan</t>
  </si>
  <si>
    <t xml:space="preserve">A4 Customer DB / A5 Storage</t>
  </si>
  <si>
    <t xml:space="preserve">Cloud backups configured</t>
  </si>
  <si>
    <t xml:space="preserve">Documented DR/BCP plan; periodic restore tests; defined RTO/RPO</t>
  </si>
  <si>
    <t xml:space="preserve">R14</t>
  </si>
  <si>
    <t xml:space="preserve">Shadow IT / unapproved SaaS</t>
  </si>
  <si>
    <t xml:space="preserve">Negligent insider</t>
  </si>
  <si>
    <t xml:space="preserve">Staff adopt SaaS tools without review; no complete asset inventory</t>
  </si>
  <si>
    <t xml:space="preserve">GRC &amp; IT</t>
  </si>
  <si>
    <t xml:space="preserve">SaaS discovery tooling; software approval process; maintained asset inventory</t>
  </si>
  <si>
    <t xml:space="preserve">Residual Risk Heatmap (count of risks by Likelihood x Impact)</t>
  </si>
  <si>
    <t xml:space="preserve">Impact \ Likelihood</t>
  </si>
  <si>
    <t xml:space="preserve">Legend:</t>
  </si>
  <si>
    <t xml:space="preserve">Low (1-4)</t>
  </si>
  <si>
    <t xml:space="preserve">Moderate (5-9)</t>
  </si>
  <si>
    <t xml:space="preserve">High (10-14)</t>
  </si>
  <si>
    <t xml:space="preserve">Critical (15-25)</t>
  </si>
  <si>
    <t xml:space="preserve">Risk Dashboard — NorthStar Lending</t>
  </si>
  <si>
    <t xml:space="preserve">Residual risk by level</t>
  </si>
  <si>
    <t xml:space="preserve">Level</t>
  </si>
  <si>
    <t xml:space="preserve">Count</t>
  </si>
  <si>
    <t xml:space="preserve">Critical</t>
  </si>
  <si>
    <t xml:space="preserve">High</t>
  </si>
  <si>
    <t xml:space="preserve">Total</t>
  </si>
  <si>
    <t xml:space="preserve">Risks by CSF function</t>
  </si>
  <si>
    <t xml:space="preserve">Function</t>
  </si>
  <si>
    <t xml:space="preserve">Quantitative Risk — Annualized Loss (top risk: R03 Insecure API)</t>
  </si>
  <si>
    <t xml:space="preserve">Translates a security risk into dollars so control cost can be weighed against risk reduction.</t>
  </si>
  <si>
    <t xml:space="preserve">Input / Calculation</t>
  </si>
  <si>
    <t xml:space="preserve">Value</t>
  </si>
  <si>
    <t xml:space="preserve">Note</t>
  </si>
  <si>
    <t xml:space="preserve">Asset value at risk (AV)</t>
  </si>
  <si>
    <t xml:space="preserve">Est. value of exposed customer data + business</t>
  </si>
  <si>
    <t xml:space="preserve">Exposure Factor (EF)</t>
  </si>
  <si>
    <t xml:space="preserve">Fraction of asset value lost if event occurs</t>
  </si>
  <si>
    <t xml:space="preserve">Single Loss Expectancy (SLE)</t>
  </si>
  <si>
    <t xml:space="preserve">SLE = AV x EF</t>
  </si>
  <si>
    <t xml:space="preserve">ARO before controls</t>
  </si>
  <si>
    <t xml:space="preserve">Expected events/year without added controls</t>
  </si>
  <si>
    <t xml:space="preserve">ALE before controls</t>
  </si>
  <si>
    <t xml:space="preserve">ALE = SLE x ARO (before)</t>
  </si>
  <si>
    <t xml:space="preserve">ARO after controls</t>
  </si>
  <si>
    <t xml:space="preserve">Expected events/year with API gateway, WAF, authz</t>
  </si>
  <si>
    <t xml:space="preserve">ALE after controls</t>
  </si>
  <si>
    <t xml:space="preserve">ALE = SLE x ARO (after)</t>
  </si>
  <si>
    <t xml:space="preserve">Annual risk reduction</t>
  </si>
  <si>
    <t xml:space="preserve">ALE before - ALE after</t>
  </si>
  <si>
    <t xml:space="preserve">Blue = input you can change; black = formula.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</si>
</sst>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9A825"/>
        <bgColor rgb="FFFFCC00"/>
      </patternFill>
    </fill>
    <fill>
      <patternFill patternType="solid">
        <fgColor rgb="FFEF6C00"/>
        <bgColor rgb="FFFF8080"/>
      </patternFill>
    </fill>
    <fill>
      <patternFill patternType="solid">
        <fgColor rgb="FFC62828"/>
        <bgColor rgb="FF993366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F6C00"/>
          <bgColor rgb="FF000000"/>
        </patternFill>
      </fill>
    </dxf>
    <dxf>
      <fill>
        <patternFill patternType="solid">
          <fgColor rgb="FFF9A82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color rgb="FFFFFFFF"/>
      </font>
      <fill>
        <patternFill>
          <bgColor rgb="FF2E7D32"/>
        </patternFill>
      </fill>
    </dxf>
    <dxf>
      <fill>
        <patternFill>
          <bgColor rgb="FFF9A825"/>
        </patternFill>
      </fill>
    </dxf>
    <dxf>
      <font>
        <name val="Arial"/>
        <charset val="1"/>
        <family val="0"/>
        <color rgb="FFFFFFFF"/>
      </font>
      <fill>
        <patternFill>
          <bgColor rgb="FFEF6C00"/>
        </patternFill>
      </fill>
    </dxf>
    <dxf>
      <font>
        <name val="Arial"/>
        <charset val="1"/>
        <family val="0"/>
        <color rgb="FFFFFFFF"/>
      </font>
      <fill>
        <patternFill>
          <bgColor rgb="FFC62828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E7D32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9A825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F6C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6282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F6C00"/>
      <rgbColor rgb="FF4F81BD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Risk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Moderate</c:v>
                </c:pt>
                <c:pt idx="3">
                  <c:v>Low</c:v>
                </c:pt>
              </c:strCache>
            </c:strRef>
          </c:cat>
          <c:val>
            <c:numRef>
              <c:f>Dashboard!$C$6:$C$9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21808185"/>
        <c:axId val="20413608"/>
      </c:barChart>
      <c:catAx>
        <c:axId val="21808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13608"/>
        <c:crosses val="autoZero"/>
        <c:auto val="1"/>
        <c:lblAlgn val="ctr"/>
        <c:lblOffset val="100"/>
        <c:noMultiLvlLbl val="0"/>
      </c:catAx>
      <c:valAx>
        <c:axId val="20413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08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131040</xdr:rowOff>
    </xdr:from>
    <xdr:to>
      <xdr:col>11</xdr:col>
      <xdr:colOff>39240</xdr:colOff>
      <xdr:row>16</xdr:row>
      <xdr:rowOff>174240</xdr:rowOff>
    </xdr:to>
    <xdr:graphicFrame>
      <xdr:nvGraphicFramePr>
        <xdr:cNvPr id="0" name="Chart 1"/>
        <xdr:cNvGraphicFramePr/>
      </xdr:nvGraphicFramePr>
      <xdr:xfrm>
        <a:off x="3055680" y="762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6" min="6" style="0" width="4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  <c r="F5" s="5"/>
    </row>
    <row r="6" customFormat="false" ht="15" hidden="false" customHeight="false" outlineLevel="0" collapsed="false">
      <c r="B6" s="6" t="s">
        <v>2</v>
      </c>
      <c r="C6" s="4"/>
      <c r="F6" s="5"/>
    </row>
    <row r="7" customFormat="false" ht="23.85" hidden="false" customHeight="false" outlineLevel="0" collapsed="false">
      <c r="B7" s="3" t="s">
        <v>3</v>
      </c>
      <c r="C7" s="4" t="s">
        <v>4</v>
      </c>
      <c r="F7" s="5"/>
    </row>
    <row r="8" customFormat="false" ht="23.85" hidden="false" customHeight="false" outlineLevel="0" collapsed="false">
      <c r="B8" s="3"/>
      <c r="C8" s="4" t="s">
        <v>5</v>
      </c>
      <c r="F8" s="5"/>
    </row>
    <row r="9" customFormat="false" ht="15" hidden="false" customHeight="false" outlineLevel="0" collapsed="false">
      <c r="B9" s="3" t="s">
        <v>6</v>
      </c>
      <c r="C9" s="4" t="s">
        <v>7</v>
      </c>
      <c r="F9" s="5"/>
    </row>
    <row r="10" customFormat="false" ht="15" hidden="false" customHeight="false" outlineLevel="0" collapsed="false">
      <c r="B10" s="3" t="s">
        <v>8</v>
      </c>
      <c r="C10" s="4" t="s">
        <v>9</v>
      </c>
      <c r="F10" s="5"/>
    </row>
    <row r="11" customFormat="false" ht="23.85" hidden="false" customHeight="false" outlineLevel="0" collapsed="false">
      <c r="B11" s="3" t="s">
        <v>10</v>
      </c>
      <c r="C11" s="4" t="s">
        <v>11</v>
      </c>
      <c r="F11" s="5"/>
    </row>
    <row r="12" customFormat="false" ht="15" hidden="false" customHeight="false" outlineLevel="0" collapsed="false">
      <c r="B12" s="3"/>
      <c r="C12" s="4"/>
      <c r="F12" s="5"/>
    </row>
    <row r="13" customFormat="false" ht="15" hidden="false" customHeight="false" outlineLevel="0" collapsed="false">
      <c r="B13" s="3" t="s">
        <v>12</v>
      </c>
      <c r="C13" s="4" t="s">
        <v>13</v>
      </c>
      <c r="F13" s="5" t="s">
        <v>14</v>
      </c>
    </row>
    <row r="14" customFormat="false" ht="15" hidden="false" customHeight="false" outlineLevel="0" collapsed="false">
      <c r="B14" s="3" t="s">
        <v>15</v>
      </c>
      <c r="C14" s="4" t="s">
        <v>16</v>
      </c>
      <c r="F14" s="5"/>
    </row>
    <row r="15" customFormat="false" ht="15" hidden="false" customHeight="false" outlineLevel="0" collapsed="false">
      <c r="B15" s="3" t="s">
        <v>17</v>
      </c>
      <c r="C15" s="4" t="s">
        <v>18</v>
      </c>
      <c r="F1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8" min="7" style="0" width="6"/>
    <col collapsed="false" customWidth="true" hidden="false" outlineLevel="0" max="9" min="9" style="0" width="9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3" min="12" style="0" width="6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28"/>
  </cols>
  <sheetData>
    <row r="1" customFormat="false" ht="64.9" hidden="false" customHeight="fals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</row>
    <row r="2" customFormat="false" ht="35.05" hidden="false" customHeight="false" outlineLevel="0" collapsed="false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9" t="n">
        <v>5</v>
      </c>
      <c r="H2" s="9" t="n">
        <v>4</v>
      </c>
      <c r="I2" s="10" t="n">
        <f aca="false">G2*H2</f>
        <v>20</v>
      </c>
      <c r="J2" s="8" t="s">
        <v>43</v>
      </c>
      <c r="K2" s="8" t="s">
        <v>44</v>
      </c>
      <c r="L2" s="9" t="n">
        <v>3</v>
      </c>
      <c r="M2" s="9" t="n">
        <v>4</v>
      </c>
      <c r="N2" s="10" t="n">
        <f aca="false">L2*M2</f>
        <v>12</v>
      </c>
      <c r="O2" s="8" t="str">
        <f aca="false">IF(N2&lt;=4,"Low",IF(N2&lt;=9,"Moderate",IF(N2&lt;=14,"High","Critical")))</f>
        <v>High</v>
      </c>
      <c r="P2" s="8" t="s">
        <v>45</v>
      </c>
      <c r="Q2" s="8" t="s">
        <v>46</v>
      </c>
      <c r="R2" s="8" t="s">
        <v>47</v>
      </c>
    </row>
    <row r="3" customFormat="false" ht="23.85" hidden="false" customHeight="false" outlineLevel="0" collapsed="false">
      <c r="A3" s="8" t="s">
        <v>48</v>
      </c>
      <c r="B3" s="8" t="s">
        <v>49</v>
      </c>
      <c r="C3" s="8" t="s">
        <v>39</v>
      </c>
      <c r="D3" s="8" t="s">
        <v>50</v>
      </c>
      <c r="E3" s="8" t="s">
        <v>51</v>
      </c>
      <c r="F3" s="8" t="s">
        <v>52</v>
      </c>
      <c r="G3" s="9" t="n">
        <v>4</v>
      </c>
      <c r="H3" s="9" t="n">
        <v>5</v>
      </c>
      <c r="I3" s="10" t="n">
        <f aca="false">G3*H3</f>
        <v>20</v>
      </c>
      <c r="J3" s="8" t="s">
        <v>53</v>
      </c>
      <c r="K3" s="8" t="s">
        <v>54</v>
      </c>
      <c r="L3" s="9" t="n">
        <v>3</v>
      </c>
      <c r="M3" s="9" t="n">
        <v>5</v>
      </c>
      <c r="N3" s="10" t="n">
        <f aca="false">L3*M3</f>
        <v>15</v>
      </c>
      <c r="O3" s="8" t="str">
        <f aca="false">IF(N3&lt;=4,"Low",IF(N3&lt;=9,"Moderate",IF(N3&lt;=14,"High","Critical")))</f>
        <v>Critical</v>
      </c>
      <c r="P3" s="8" t="s">
        <v>55</v>
      </c>
      <c r="Q3" s="8" t="s">
        <v>46</v>
      </c>
      <c r="R3" s="8" t="s">
        <v>56</v>
      </c>
    </row>
    <row r="4" customFormat="false" ht="23.85" hidden="false" customHeight="false" outlineLevel="0" collapsed="false">
      <c r="A4" s="8" t="s">
        <v>57</v>
      </c>
      <c r="B4" s="8" t="s">
        <v>58</v>
      </c>
      <c r="C4" s="8" t="s">
        <v>39</v>
      </c>
      <c r="D4" s="8" t="s">
        <v>40</v>
      </c>
      <c r="E4" s="8" t="s">
        <v>59</v>
      </c>
      <c r="F4" s="8" t="s">
        <v>60</v>
      </c>
      <c r="G4" s="9" t="n">
        <v>4</v>
      </c>
      <c r="H4" s="9" t="n">
        <v>5</v>
      </c>
      <c r="I4" s="10" t="n">
        <f aca="false">G4*H4</f>
        <v>20</v>
      </c>
      <c r="J4" s="8" t="s">
        <v>61</v>
      </c>
      <c r="K4" s="8" t="s">
        <v>54</v>
      </c>
      <c r="L4" s="9" t="n">
        <v>3</v>
      </c>
      <c r="M4" s="9" t="n">
        <v>5</v>
      </c>
      <c r="N4" s="10" t="n">
        <f aca="false">L4*M4</f>
        <v>15</v>
      </c>
      <c r="O4" s="8" t="str">
        <f aca="false">IF(N4&lt;=4,"Low",IF(N4&lt;=9,"Moderate",IF(N4&lt;=14,"High","Critical")))</f>
        <v>Critical</v>
      </c>
      <c r="P4" s="8" t="s">
        <v>62</v>
      </c>
      <c r="Q4" s="8" t="s">
        <v>46</v>
      </c>
      <c r="R4" s="8" t="s">
        <v>63</v>
      </c>
    </row>
    <row r="5" customFormat="false" ht="35.05" hidden="false" customHeight="false" outlineLevel="0" collapsed="false">
      <c r="A5" s="8" t="s">
        <v>64</v>
      </c>
      <c r="B5" s="8" t="s">
        <v>65</v>
      </c>
      <c r="C5" s="8" t="s">
        <v>39</v>
      </c>
      <c r="D5" s="8" t="s">
        <v>66</v>
      </c>
      <c r="E5" s="8" t="s">
        <v>67</v>
      </c>
      <c r="F5" s="8" t="s">
        <v>68</v>
      </c>
      <c r="G5" s="9" t="n">
        <v>3</v>
      </c>
      <c r="H5" s="9" t="n">
        <v>5</v>
      </c>
      <c r="I5" s="10" t="n">
        <f aca="false">G5*H5</f>
        <v>15</v>
      </c>
      <c r="J5" s="8" t="s">
        <v>69</v>
      </c>
      <c r="K5" s="8" t="s">
        <v>44</v>
      </c>
      <c r="L5" s="9" t="n">
        <v>2</v>
      </c>
      <c r="M5" s="9" t="n">
        <v>5</v>
      </c>
      <c r="N5" s="10" t="n">
        <f aca="false">L5*M5</f>
        <v>10</v>
      </c>
      <c r="O5" s="8" t="str">
        <f aca="false">IF(N5&lt;=4,"Low",IF(N5&lt;=9,"Moderate",IF(N5&lt;=14,"High","Critical")))</f>
        <v>High</v>
      </c>
      <c r="P5" s="8" t="s">
        <v>70</v>
      </c>
      <c r="Q5" s="8" t="s">
        <v>46</v>
      </c>
      <c r="R5" s="8" t="s">
        <v>71</v>
      </c>
    </row>
    <row r="6" customFormat="false" ht="35.05" hidden="false" customHeight="false" outlineLevel="0" collapsed="false">
      <c r="A6" s="8" t="s">
        <v>72</v>
      </c>
      <c r="B6" s="8" t="s">
        <v>73</v>
      </c>
      <c r="C6" s="8" t="s">
        <v>39</v>
      </c>
      <c r="D6" s="8" t="s">
        <v>74</v>
      </c>
      <c r="E6" s="8" t="s">
        <v>75</v>
      </c>
      <c r="F6" s="8" t="s">
        <v>76</v>
      </c>
      <c r="G6" s="9" t="n">
        <v>3</v>
      </c>
      <c r="H6" s="9" t="n">
        <v>5</v>
      </c>
      <c r="I6" s="10" t="n">
        <f aca="false">G6*H6</f>
        <v>15</v>
      </c>
      <c r="J6" s="8" t="s">
        <v>77</v>
      </c>
      <c r="K6" s="8" t="s">
        <v>44</v>
      </c>
      <c r="L6" s="9" t="n">
        <v>2</v>
      </c>
      <c r="M6" s="9" t="n">
        <v>5</v>
      </c>
      <c r="N6" s="10" t="n">
        <f aca="false">L6*M6</f>
        <v>10</v>
      </c>
      <c r="O6" s="8" t="str">
        <f aca="false">IF(N6&lt;=4,"Low",IF(N6&lt;=9,"Moderate",IF(N6&lt;=14,"High","Critical")))</f>
        <v>High</v>
      </c>
      <c r="P6" s="8" t="s">
        <v>78</v>
      </c>
      <c r="Q6" s="8" t="s">
        <v>46</v>
      </c>
      <c r="R6" s="8" t="s">
        <v>79</v>
      </c>
    </row>
    <row r="7" customFormat="false" ht="35.05" hidden="false" customHeight="false" outlineLevel="0" collapsed="false">
      <c r="A7" s="8" t="s">
        <v>80</v>
      </c>
      <c r="B7" s="8" t="s">
        <v>81</v>
      </c>
      <c r="C7" s="8" t="s">
        <v>39</v>
      </c>
      <c r="D7" s="8" t="s">
        <v>40</v>
      </c>
      <c r="E7" s="8" t="s">
        <v>82</v>
      </c>
      <c r="F7" s="8" t="s">
        <v>76</v>
      </c>
      <c r="G7" s="9" t="n">
        <v>3</v>
      </c>
      <c r="H7" s="9" t="n">
        <v>5</v>
      </c>
      <c r="I7" s="10" t="n">
        <f aca="false">G7*H7</f>
        <v>15</v>
      </c>
      <c r="J7" s="8" t="s">
        <v>83</v>
      </c>
      <c r="K7" s="8" t="s">
        <v>54</v>
      </c>
      <c r="L7" s="9" t="n">
        <v>3</v>
      </c>
      <c r="M7" s="9" t="n">
        <v>5</v>
      </c>
      <c r="N7" s="10" t="n">
        <f aca="false">L7*M7</f>
        <v>15</v>
      </c>
      <c r="O7" s="8" t="str">
        <f aca="false">IF(N7&lt;=4,"Low",IF(N7&lt;=9,"Moderate",IF(N7&lt;=14,"High","Critical")))</f>
        <v>Critical</v>
      </c>
      <c r="P7" s="8" t="s">
        <v>78</v>
      </c>
      <c r="Q7" s="8" t="s">
        <v>46</v>
      </c>
      <c r="R7" s="8" t="s">
        <v>84</v>
      </c>
    </row>
    <row r="8" customFormat="false" ht="35.05" hidden="false" customHeight="false" outlineLevel="0" collapsed="false">
      <c r="A8" s="8" t="s">
        <v>85</v>
      </c>
      <c r="B8" s="8" t="s">
        <v>86</v>
      </c>
      <c r="C8" s="8" t="s">
        <v>87</v>
      </c>
      <c r="D8" s="8" t="s">
        <v>88</v>
      </c>
      <c r="E8" s="8" t="s">
        <v>89</v>
      </c>
      <c r="F8" s="8" t="s">
        <v>90</v>
      </c>
      <c r="G8" s="9" t="n">
        <v>3</v>
      </c>
      <c r="H8" s="9" t="n">
        <v>4</v>
      </c>
      <c r="I8" s="10" t="n">
        <f aca="false">G8*H8</f>
        <v>12</v>
      </c>
      <c r="J8" s="8" t="s">
        <v>91</v>
      </c>
      <c r="K8" s="8" t="s">
        <v>54</v>
      </c>
      <c r="L8" s="9" t="n">
        <v>3</v>
      </c>
      <c r="M8" s="9" t="n">
        <v>4</v>
      </c>
      <c r="N8" s="10" t="n">
        <f aca="false">L8*M8</f>
        <v>12</v>
      </c>
      <c r="O8" s="8" t="str">
        <f aca="false">IF(N8&lt;=4,"Low",IF(N8&lt;=9,"Moderate",IF(N8&lt;=14,"High","Critical")))</f>
        <v>High</v>
      </c>
      <c r="P8" s="8" t="s">
        <v>92</v>
      </c>
      <c r="Q8" s="8" t="s">
        <v>46</v>
      </c>
      <c r="R8" s="8" t="s">
        <v>93</v>
      </c>
    </row>
    <row r="9" customFormat="false" ht="35.05" hidden="false" customHeight="false" outlineLevel="0" collapsed="false">
      <c r="A9" s="8" t="s">
        <v>94</v>
      </c>
      <c r="B9" s="8" t="s">
        <v>95</v>
      </c>
      <c r="C9" s="8" t="s">
        <v>39</v>
      </c>
      <c r="D9" s="8" t="s">
        <v>96</v>
      </c>
      <c r="E9" s="8" t="s">
        <v>97</v>
      </c>
      <c r="F9" s="8" t="s">
        <v>98</v>
      </c>
      <c r="G9" s="9" t="n">
        <v>2</v>
      </c>
      <c r="H9" s="9" t="n">
        <v>5</v>
      </c>
      <c r="I9" s="10" t="n">
        <f aca="false">G9*H9</f>
        <v>10</v>
      </c>
      <c r="J9" s="8" t="s">
        <v>99</v>
      </c>
      <c r="K9" s="8" t="s">
        <v>44</v>
      </c>
      <c r="L9" s="9" t="n">
        <v>2</v>
      </c>
      <c r="M9" s="9" t="n">
        <v>4</v>
      </c>
      <c r="N9" s="10" t="n">
        <f aca="false">L9*M9</f>
        <v>8</v>
      </c>
      <c r="O9" s="8" t="str">
        <f aca="false">IF(N9&lt;=4,"Low",IF(N9&lt;=9,"Moderate",IF(N9&lt;=14,"High","Critical")))</f>
        <v>Moderate</v>
      </c>
      <c r="P9" s="8" t="s">
        <v>45</v>
      </c>
      <c r="Q9" s="8" t="s">
        <v>46</v>
      </c>
      <c r="R9" s="8" t="s">
        <v>100</v>
      </c>
    </row>
    <row r="10" customFormat="false" ht="35.05" hidden="false" customHeight="false" outlineLevel="0" collapsed="false">
      <c r="A10" s="8" t="s">
        <v>101</v>
      </c>
      <c r="B10" s="8" t="s">
        <v>102</v>
      </c>
      <c r="C10" s="8" t="s">
        <v>103</v>
      </c>
      <c r="D10" s="8" t="s">
        <v>104</v>
      </c>
      <c r="E10" s="8" t="s">
        <v>105</v>
      </c>
      <c r="F10" s="8" t="s">
        <v>106</v>
      </c>
      <c r="G10" s="9" t="n">
        <v>4</v>
      </c>
      <c r="H10" s="9" t="n">
        <v>4</v>
      </c>
      <c r="I10" s="10" t="n">
        <f aca="false">G10*H10</f>
        <v>16</v>
      </c>
      <c r="J10" s="8" t="s">
        <v>107</v>
      </c>
      <c r="K10" s="8" t="s">
        <v>54</v>
      </c>
      <c r="L10" s="9" t="n">
        <v>3</v>
      </c>
      <c r="M10" s="9" t="n">
        <v>4</v>
      </c>
      <c r="N10" s="10" t="n">
        <f aca="false">L10*M10</f>
        <v>12</v>
      </c>
      <c r="O10" s="8" t="str">
        <f aca="false">IF(N10&lt;=4,"Low",IF(N10&lt;=9,"Moderate",IF(N10&lt;=14,"High","Critical")))</f>
        <v>High</v>
      </c>
      <c r="P10" s="8" t="s">
        <v>45</v>
      </c>
      <c r="Q10" s="8" t="s">
        <v>46</v>
      </c>
      <c r="R10" s="8" t="s">
        <v>108</v>
      </c>
    </row>
    <row r="11" customFormat="false" ht="35.05" hidden="false" customHeight="false" outlineLevel="0" collapsed="false">
      <c r="A11" s="8" t="s">
        <v>109</v>
      </c>
      <c r="B11" s="8" t="s">
        <v>110</v>
      </c>
      <c r="C11" s="8" t="s">
        <v>111</v>
      </c>
      <c r="D11" s="8" t="s">
        <v>104</v>
      </c>
      <c r="E11" s="8" t="s">
        <v>112</v>
      </c>
      <c r="F11" s="8" t="s">
        <v>106</v>
      </c>
      <c r="G11" s="9" t="n">
        <v>3</v>
      </c>
      <c r="H11" s="9" t="n">
        <v>5</v>
      </c>
      <c r="I11" s="10" t="n">
        <f aca="false">G11*H11</f>
        <v>15</v>
      </c>
      <c r="J11" s="8" t="s">
        <v>113</v>
      </c>
      <c r="K11" s="8" t="s">
        <v>114</v>
      </c>
      <c r="L11" s="9" t="n">
        <v>3</v>
      </c>
      <c r="M11" s="9" t="n">
        <v>5</v>
      </c>
      <c r="N11" s="10" t="n">
        <f aca="false">L11*M11</f>
        <v>15</v>
      </c>
      <c r="O11" s="8" t="str">
        <f aca="false">IF(N11&lt;=4,"Low",IF(N11&lt;=9,"Moderate",IF(N11&lt;=14,"High","Critical")))</f>
        <v>Critical</v>
      </c>
      <c r="P11" s="8" t="s">
        <v>115</v>
      </c>
      <c r="Q11" s="8" t="s">
        <v>46</v>
      </c>
      <c r="R11" s="8" t="s">
        <v>116</v>
      </c>
    </row>
    <row r="12" customFormat="false" ht="35.05" hidden="false" customHeight="false" outlineLevel="0" collapsed="false">
      <c r="A12" s="8" t="s">
        <v>117</v>
      </c>
      <c r="B12" s="8" t="s">
        <v>118</v>
      </c>
      <c r="C12" s="8" t="s">
        <v>87</v>
      </c>
      <c r="D12" s="8" t="s">
        <v>119</v>
      </c>
      <c r="E12" s="8" t="s">
        <v>120</v>
      </c>
      <c r="F12" s="8" t="s">
        <v>121</v>
      </c>
      <c r="G12" s="9" t="n">
        <v>4</v>
      </c>
      <c r="H12" s="9" t="n">
        <v>4</v>
      </c>
      <c r="I12" s="10" t="n">
        <f aca="false">G12*H12</f>
        <v>16</v>
      </c>
      <c r="J12" s="8" t="s">
        <v>122</v>
      </c>
      <c r="K12" s="8" t="s">
        <v>54</v>
      </c>
      <c r="L12" s="9" t="n">
        <v>2</v>
      </c>
      <c r="M12" s="9" t="n">
        <v>4</v>
      </c>
      <c r="N12" s="10" t="n">
        <f aca="false">L12*M12</f>
        <v>8</v>
      </c>
      <c r="O12" s="8" t="str">
        <f aca="false">IF(N12&lt;=4,"Low",IF(N12&lt;=9,"Moderate",IF(N12&lt;=14,"High","Critical")))</f>
        <v>Moderate</v>
      </c>
      <c r="P12" s="8" t="s">
        <v>123</v>
      </c>
      <c r="Q12" s="8" t="s">
        <v>46</v>
      </c>
      <c r="R12" s="8" t="s">
        <v>124</v>
      </c>
    </row>
    <row r="13" customFormat="false" ht="35.05" hidden="false" customHeight="false" outlineLevel="0" collapsed="false">
      <c r="A13" s="8" t="s">
        <v>125</v>
      </c>
      <c r="B13" s="8" t="s">
        <v>126</v>
      </c>
      <c r="C13" s="8" t="s">
        <v>127</v>
      </c>
      <c r="D13" s="8" t="s">
        <v>40</v>
      </c>
      <c r="E13" s="8" t="s">
        <v>128</v>
      </c>
      <c r="F13" s="8" t="s">
        <v>129</v>
      </c>
      <c r="G13" s="9" t="n">
        <v>4</v>
      </c>
      <c r="H13" s="9" t="n">
        <v>4</v>
      </c>
      <c r="I13" s="10" t="n">
        <f aca="false">G13*H13</f>
        <v>16</v>
      </c>
      <c r="J13" s="8" t="s">
        <v>130</v>
      </c>
      <c r="K13" s="8" t="s">
        <v>54</v>
      </c>
      <c r="L13" s="9" t="n">
        <v>3</v>
      </c>
      <c r="M13" s="9" t="n">
        <v>4</v>
      </c>
      <c r="N13" s="10" t="n">
        <f aca="false">L13*M13</f>
        <v>12</v>
      </c>
      <c r="O13" s="8" t="str">
        <f aca="false">IF(N13&lt;=4,"Low",IF(N13&lt;=9,"Moderate",IF(N13&lt;=14,"High","Critical")))</f>
        <v>High</v>
      </c>
      <c r="P13" s="8" t="s">
        <v>70</v>
      </c>
      <c r="Q13" s="8" t="s">
        <v>46</v>
      </c>
      <c r="R13" s="8" t="s">
        <v>131</v>
      </c>
    </row>
    <row r="14" customFormat="false" ht="35.05" hidden="false" customHeight="false" outlineLevel="0" collapsed="false">
      <c r="A14" s="8" t="s">
        <v>132</v>
      </c>
      <c r="B14" s="8" t="s">
        <v>133</v>
      </c>
      <c r="C14" s="8" t="s">
        <v>134</v>
      </c>
      <c r="D14" s="8" t="s">
        <v>104</v>
      </c>
      <c r="E14" s="8" t="s">
        <v>135</v>
      </c>
      <c r="F14" s="8" t="s">
        <v>136</v>
      </c>
      <c r="G14" s="9" t="n">
        <v>3</v>
      </c>
      <c r="H14" s="9" t="n">
        <v>4</v>
      </c>
      <c r="I14" s="10" t="n">
        <f aca="false">G14*H14</f>
        <v>12</v>
      </c>
      <c r="J14" s="8" t="s">
        <v>137</v>
      </c>
      <c r="K14" s="8" t="s">
        <v>54</v>
      </c>
      <c r="L14" s="9" t="n">
        <v>2</v>
      </c>
      <c r="M14" s="9" t="n">
        <v>4</v>
      </c>
      <c r="N14" s="10" t="n">
        <f aca="false">L14*M14</f>
        <v>8</v>
      </c>
      <c r="O14" s="8" t="str">
        <f aca="false">IF(N14&lt;=4,"Low",IF(N14&lt;=9,"Moderate",IF(N14&lt;=14,"High","Critical")))</f>
        <v>Moderate</v>
      </c>
      <c r="P14" s="8" t="s">
        <v>70</v>
      </c>
      <c r="Q14" s="8" t="s">
        <v>46</v>
      </c>
      <c r="R14" s="8" t="s">
        <v>138</v>
      </c>
    </row>
    <row r="15" customFormat="false" ht="35.05" hidden="false" customHeight="false" outlineLevel="0" collapsed="false">
      <c r="A15" s="8" t="s">
        <v>139</v>
      </c>
      <c r="B15" s="8" t="s">
        <v>140</v>
      </c>
      <c r="C15" s="8" t="s">
        <v>87</v>
      </c>
      <c r="D15" s="8" t="s">
        <v>141</v>
      </c>
      <c r="E15" s="8" t="s">
        <v>142</v>
      </c>
      <c r="F15" s="8" t="s">
        <v>90</v>
      </c>
      <c r="G15" s="9" t="n">
        <v>4</v>
      </c>
      <c r="H15" s="9" t="n">
        <v>3</v>
      </c>
      <c r="I15" s="10" t="n">
        <f aca="false">G15*H15</f>
        <v>12</v>
      </c>
      <c r="J15" s="8" t="s">
        <v>114</v>
      </c>
      <c r="K15" s="8" t="s">
        <v>114</v>
      </c>
      <c r="L15" s="9" t="n">
        <v>3</v>
      </c>
      <c r="M15" s="9" t="n">
        <v>3</v>
      </c>
      <c r="N15" s="10" t="n">
        <f aca="false">L15*M15</f>
        <v>9</v>
      </c>
      <c r="O15" s="8" t="str">
        <f aca="false">IF(N15&lt;=4,"Low",IF(N15&lt;=9,"Moderate",IF(N15&lt;=14,"High","Critical")))</f>
        <v>Moderate</v>
      </c>
      <c r="P15" s="8" t="s">
        <v>143</v>
      </c>
      <c r="Q15" s="8" t="s">
        <v>46</v>
      </c>
      <c r="R15" s="8" t="s">
        <v>144</v>
      </c>
    </row>
  </sheetData>
  <autoFilter ref="A1:R15"/>
  <conditionalFormatting sqref="I2:I15">
    <cfRule type="cellIs" priority="2" operator="between" aboveAverage="0" equalAverage="0" bottom="0" percent="0" rank="0" text="" dxfId="7">
      <formula>1</formula>
      <formula>4</formula>
    </cfRule>
    <cfRule type="cellIs" priority="3" operator="between" aboveAverage="0" equalAverage="0" bottom="0" percent="0" rank="0" text="" dxfId="8">
      <formula>5</formula>
      <formula>9</formula>
    </cfRule>
    <cfRule type="cellIs" priority="4" operator="between" aboveAverage="0" equalAverage="0" bottom="0" percent="0" rank="0" text="" dxfId="9">
      <formula>10</formula>
      <formula>14</formula>
    </cfRule>
    <cfRule type="cellIs" priority="5" operator="between" aboveAverage="0" equalAverage="0" bottom="0" percent="0" rank="0" text="" dxfId="10">
      <formula>15</formula>
      <formula>25</formula>
    </cfRule>
  </conditionalFormatting>
  <conditionalFormatting sqref="N2:N15">
    <cfRule type="cellIs" priority="6" operator="between" aboveAverage="0" equalAverage="0" bottom="0" percent="0" rank="0" text="" dxfId="7">
      <formula>1</formula>
      <formula>4</formula>
    </cfRule>
    <cfRule type="cellIs" priority="7" operator="between" aboveAverage="0" equalAverage="0" bottom="0" percent="0" rank="0" text="" dxfId="8">
      <formula>5</formula>
      <formula>9</formula>
    </cfRule>
    <cfRule type="cellIs" priority="8" operator="between" aboveAverage="0" equalAverage="0" bottom="0" percent="0" rank="0" text="" dxfId="9">
      <formula>10</formula>
      <formula>14</formula>
    </cfRule>
    <cfRule type="cellIs" priority="9" operator="between" aboveAverage="0" equalAverage="0" bottom="0" percent="0" rank="0" text="" dxfId="10">
      <formula>15</formula>
      <formula>25</formula>
    </cfRule>
  </conditionalFormatting>
  <conditionalFormatting sqref="O2:O15">
    <cfRule type="expression" priority="10" aboveAverage="0" equalAverage="0" bottom="0" percent="0" rank="0" text="" dxfId="11">
      <formula>EXACT($O2,"Low")</formula>
    </cfRule>
    <cfRule type="expression" priority="11" aboveAverage="0" equalAverage="0" bottom="0" percent="0" rank="0" text="" dxfId="12">
      <formula>EXACT($O2,"Moderate")</formula>
    </cfRule>
    <cfRule type="expression" priority="12" aboveAverage="0" equalAverage="0" bottom="0" percent="0" rank="0" text="" dxfId="13">
      <formula>EXACT($O2,"High")</formula>
    </cfRule>
    <cfRule type="expression" priority="13" aboveAverage="0" equalAverage="0" bottom="0" percent="0" rank="0" text="" dxfId="14">
      <formula>EXACT($O2,"Critical")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3" style="0" width="7"/>
  </cols>
  <sheetData>
    <row r="2" customFormat="false" ht="16.15" hidden="false" customHeight="false" outlineLevel="0" collapsed="false">
      <c r="B2" s="11" t="s">
        <v>145</v>
      </c>
    </row>
    <row r="4" customFormat="false" ht="15" hidden="false" customHeight="false" outlineLevel="0" collapsed="false">
      <c r="B4" s="12" t="s">
        <v>146</v>
      </c>
      <c r="C4" s="13" t="n">
        <v>1</v>
      </c>
      <c r="D4" s="13" t="n">
        <v>2</v>
      </c>
      <c r="E4" s="13" t="n">
        <v>3</v>
      </c>
      <c r="F4" s="13" t="n">
        <v>4</v>
      </c>
      <c r="G4" s="13" t="n">
        <v>5</v>
      </c>
    </row>
    <row r="5" customFormat="false" ht="15" hidden="false" customHeight="false" outlineLevel="0" collapsed="false">
      <c r="B5" s="13" t="n">
        <v>5</v>
      </c>
      <c r="C5" s="14" t="n">
        <f aca="false">COUNTIFS('Risk Register'!$L$2:$L$15,1,'Risk Register'!$M$2:$M$15,5)</f>
        <v>0</v>
      </c>
      <c r="D5" s="15" t="n">
        <f aca="false">COUNTIFS('Risk Register'!$L$2:$L$15,2,'Risk Register'!$M$2:$M$15,5)</f>
        <v>2</v>
      </c>
      <c r="E5" s="16" t="n">
        <f aca="false">COUNTIFS('Risk Register'!$L$2:$L$15,3,'Risk Register'!$M$2:$M$15,5)</f>
        <v>4</v>
      </c>
      <c r="F5" s="16" t="n">
        <f aca="false">COUNTIFS('Risk Register'!$L$2:$L$15,4,'Risk Register'!$M$2:$M$15,5)</f>
        <v>0</v>
      </c>
      <c r="G5" s="16" t="n">
        <f aca="false">COUNTIFS('Risk Register'!$L$2:$L$15,5,'Risk Register'!$M$2:$M$15,5)</f>
        <v>0</v>
      </c>
    </row>
    <row r="6" customFormat="false" ht="15" hidden="false" customHeight="false" outlineLevel="0" collapsed="false">
      <c r="B6" s="13" t="n">
        <v>4</v>
      </c>
      <c r="C6" s="17" t="n">
        <f aca="false">COUNTIFS('Risk Register'!$L$2:$L$15,1,'Risk Register'!$M$2:$M$15,4)</f>
        <v>0</v>
      </c>
      <c r="D6" s="14" t="n">
        <f aca="false">COUNTIFS('Risk Register'!$L$2:$L$15,2,'Risk Register'!$M$2:$M$15,4)</f>
        <v>3</v>
      </c>
      <c r="E6" s="15" t="n">
        <f aca="false">COUNTIFS('Risk Register'!$L$2:$L$15,3,'Risk Register'!$M$2:$M$15,4)</f>
        <v>4</v>
      </c>
      <c r="F6" s="16" t="n">
        <f aca="false">COUNTIFS('Risk Register'!$L$2:$L$15,4,'Risk Register'!$M$2:$M$15,4)</f>
        <v>0</v>
      </c>
      <c r="G6" s="16" t="n">
        <f aca="false">COUNTIFS('Risk Register'!$L$2:$L$15,5,'Risk Register'!$M$2:$M$15,4)</f>
        <v>0</v>
      </c>
    </row>
    <row r="7" customFormat="false" ht="15" hidden="false" customHeight="false" outlineLevel="0" collapsed="false">
      <c r="B7" s="13" t="n">
        <v>3</v>
      </c>
      <c r="C7" s="17" t="n">
        <f aca="false">COUNTIFS('Risk Register'!$L$2:$L$15,1,'Risk Register'!$M$2:$M$15,3)</f>
        <v>0</v>
      </c>
      <c r="D7" s="14" t="n">
        <f aca="false">COUNTIFS('Risk Register'!$L$2:$L$15,2,'Risk Register'!$M$2:$M$15,3)</f>
        <v>0</v>
      </c>
      <c r="E7" s="14" t="n">
        <f aca="false">COUNTIFS('Risk Register'!$L$2:$L$15,3,'Risk Register'!$M$2:$M$15,3)</f>
        <v>1</v>
      </c>
      <c r="F7" s="15" t="n">
        <f aca="false">COUNTIFS('Risk Register'!$L$2:$L$15,4,'Risk Register'!$M$2:$M$15,3)</f>
        <v>0</v>
      </c>
      <c r="G7" s="16" t="n">
        <f aca="false">COUNTIFS('Risk Register'!$L$2:$L$15,5,'Risk Register'!$M$2:$M$15,3)</f>
        <v>0</v>
      </c>
    </row>
    <row r="8" customFormat="false" ht="15" hidden="false" customHeight="false" outlineLevel="0" collapsed="false">
      <c r="B8" s="13" t="n">
        <v>2</v>
      </c>
      <c r="C8" s="17" t="n">
        <f aca="false">COUNTIFS('Risk Register'!$L$2:$L$15,1,'Risk Register'!$M$2:$M$15,2)</f>
        <v>0</v>
      </c>
      <c r="D8" s="17" t="n">
        <f aca="false">COUNTIFS('Risk Register'!$L$2:$L$15,2,'Risk Register'!$M$2:$M$15,2)</f>
        <v>0</v>
      </c>
      <c r="E8" s="14" t="n">
        <f aca="false">COUNTIFS('Risk Register'!$L$2:$L$15,3,'Risk Register'!$M$2:$M$15,2)</f>
        <v>0</v>
      </c>
      <c r="F8" s="14" t="n">
        <f aca="false">COUNTIFS('Risk Register'!$L$2:$L$15,4,'Risk Register'!$M$2:$M$15,2)</f>
        <v>0</v>
      </c>
      <c r="G8" s="15" t="n">
        <f aca="false">COUNTIFS('Risk Register'!$L$2:$L$15,5,'Risk Register'!$M$2:$M$15,2)</f>
        <v>0</v>
      </c>
    </row>
    <row r="9" customFormat="false" ht="15" hidden="false" customHeight="false" outlineLevel="0" collapsed="false">
      <c r="B9" s="13" t="n">
        <v>1</v>
      </c>
      <c r="C9" s="17" t="n">
        <f aca="false">COUNTIFS('Risk Register'!$L$2:$L$15,1,'Risk Register'!$M$2:$M$15,1)</f>
        <v>0</v>
      </c>
      <c r="D9" s="17" t="n">
        <f aca="false">COUNTIFS('Risk Register'!$L$2:$L$15,2,'Risk Register'!$M$2:$M$15,1)</f>
        <v>0</v>
      </c>
      <c r="E9" s="17" t="n">
        <f aca="false">COUNTIFS('Risk Register'!$L$2:$L$15,3,'Risk Register'!$M$2:$M$15,1)</f>
        <v>0</v>
      </c>
      <c r="F9" s="17" t="n">
        <f aca="false">COUNTIFS('Risk Register'!$L$2:$L$15,4,'Risk Register'!$M$2:$M$15,1)</f>
        <v>0</v>
      </c>
      <c r="G9" s="14" t="n">
        <f aca="false">COUNTIFS('Risk Register'!$L$2:$L$15,5,'Risk Register'!$M$2:$M$15,1)</f>
        <v>0</v>
      </c>
    </row>
    <row r="12" customFormat="false" ht="15" hidden="false" customHeight="false" outlineLevel="0" collapsed="false">
      <c r="B12" s="6" t="s">
        <v>147</v>
      </c>
    </row>
    <row r="13" customFormat="false" ht="15" hidden="false" customHeight="false" outlineLevel="0" collapsed="false">
      <c r="B13" s="18" t="s">
        <v>148</v>
      </c>
    </row>
    <row r="14" customFormat="false" ht="15" hidden="false" customHeight="false" outlineLevel="0" collapsed="false">
      <c r="B14" s="19" t="s">
        <v>149</v>
      </c>
    </row>
    <row r="15" customFormat="false" ht="15" hidden="false" customHeight="false" outlineLevel="0" collapsed="false">
      <c r="B15" s="20" t="s">
        <v>150</v>
      </c>
    </row>
    <row r="16" customFormat="false" ht="15" hidden="false" customHeight="false" outlineLevel="0" collapsed="false">
      <c r="B16" s="21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0"/>
  </cols>
  <sheetData>
    <row r="2" customFormat="false" ht="19.7" hidden="false" customHeight="false" outlineLevel="0" collapsed="false">
      <c r="B2" s="1" t="s">
        <v>152</v>
      </c>
    </row>
    <row r="4" customFormat="false" ht="15" hidden="false" customHeight="false" outlineLevel="0" collapsed="false">
      <c r="B4" s="22" t="s">
        <v>153</v>
      </c>
    </row>
    <row r="5" customFormat="false" ht="15" hidden="false" customHeight="false" outlineLevel="0" collapsed="false">
      <c r="B5" s="23" t="s">
        <v>154</v>
      </c>
      <c r="C5" s="23" t="s">
        <v>155</v>
      </c>
    </row>
    <row r="6" customFormat="false" ht="15" hidden="false" customHeight="false" outlineLevel="0" collapsed="false">
      <c r="B6" s="21" t="s">
        <v>156</v>
      </c>
      <c r="C6" s="24" t="n">
        <f aca="false">COUNTIF('Risk Register'!$O$2:$O$15,"Critical")</f>
        <v>4</v>
      </c>
    </row>
    <row r="7" customFormat="false" ht="15" hidden="false" customHeight="false" outlineLevel="0" collapsed="false">
      <c r="B7" s="20" t="s">
        <v>157</v>
      </c>
      <c r="C7" s="24" t="n">
        <f aca="false">COUNTIF('Risk Register'!$O$2:$O$15,"High")</f>
        <v>6</v>
      </c>
    </row>
    <row r="8" customFormat="false" ht="15" hidden="false" customHeight="false" outlineLevel="0" collapsed="false">
      <c r="B8" s="19" t="s">
        <v>44</v>
      </c>
      <c r="C8" s="24" t="n">
        <f aca="false">COUNTIF('Risk Register'!$O$2:$O$15,"Moderate")</f>
        <v>4</v>
      </c>
    </row>
    <row r="9" customFormat="false" ht="15" hidden="false" customHeight="false" outlineLevel="0" collapsed="false">
      <c r="B9" s="18" t="s">
        <v>54</v>
      </c>
      <c r="C9" s="24" t="n">
        <f aca="false">COUNTIF('Risk Register'!$O$2:$O$15,"Low")</f>
        <v>0</v>
      </c>
    </row>
    <row r="10" customFormat="false" ht="15" hidden="false" customHeight="false" outlineLevel="0" collapsed="false">
      <c r="B10" s="6" t="s">
        <v>158</v>
      </c>
      <c r="C10" s="13" t="n">
        <f aca="false">SUM(C6:C9)</f>
        <v>14</v>
      </c>
    </row>
    <row r="14" customFormat="false" ht="15" hidden="false" customHeight="false" outlineLevel="0" collapsed="false">
      <c r="B14" s="22" t="s">
        <v>159</v>
      </c>
    </row>
    <row r="15" customFormat="false" ht="15" hidden="false" customHeight="false" outlineLevel="0" collapsed="false">
      <c r="B15" s="23" t="s">
        <v>160</v>
      </c>
      <c r="C15" s="23" t="s">
        <v>155</v>
      </c>
    </row>
    <row r="16" customFormat="false" ht="15" hidden="false" customHeight="false" outlineLevel="0" collapsed="false">
      <c r="B16" s="3" t="s">
        <v>87</v>
      </c>
      <c r="C16" s="24" t="n">
        <f aca="false">COUNTIF('Risk Register'!$C$2:$C$15,"GV")</f>
        <v>3</v>
      </c>
    </row>
    <row r="17" customFormat="false" ht="15" hidden="false" customHeight="false" outlineLevel="0" collapsed="false">
      <c r="B17" s="3" t="s">
        <v>127</v>
      </c>
      <c r="C17" s="24" t="n">
        <f aca="false">COUNTIF('Risk Register'!$C$2:$C$15,"ID")</f>
        <v>1</v>
      </c>
    </row>
    <row r="18" customFormat="false" ht="15" hidden="false" customHeight="false" outlineLevel="0" collapsed="false">
      <c r="B18" s="3" t="s">
        <v>39</v>
      </c>
      <c r="C18" s="24" t="n">
        <f aca="false">COUNTIF('Risk Register'!$C$2:$C$15,"PR")</f>
        <v>7</v>
      </c>
    </row>
    <row r="19" customFormat="false" ht="15" hidden="false" customHeight="false" outlineLevel="0" collapsed="false">
      <c r="B19" s="3" t="s">
        <v>103</v>
      </c>
      <c r="C19" s="24" t="n">
        <f aca="false">COUNTIF('Risk Register'!$C$2:$C$15,"DE")</f>
        <v>1</v>
      </c>
    </row>
    <row r="20" customFormat="false" ht="15" hidden="false" customHeight="false" outlineLevel="0" collapsed="false">
      <c r="B20" s="3" t="s">
        <v>111</v>
      </c>
      <c r="C20" s="24" t="n">
        <f aca="false">COUNTIF('Risk Register'!$C$2:$C$15,"RS")</f>
        <v>1</v>
      </c>
    </row>
    <row r="21" customFormat="false" ht="15" hidden="false" customHeight="false" outlineLevel="0" collapsed="false">
      <c r="B21" s="3" t="s">
        <v>134</v>
      </c>
      <c r="C21" s="24" t="n">
        <f aca="false">COUNTIF('Risk Register'!$C$2:$C$15,"RC")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8"/>
  </cols>
  <sheetData>
    <row r="2" customFormat="false" ht="16.15" hidden="false" customHeight="false" outlineLevel="0" collapsed="false">
      <c r="B2" s="11" t="s">
        <v>161</v>
      </c>
    </row>
    <row r="3" customFormat="false" ht="15" hidden="false" customHeight="false" outlineLevel="0" collapsed="false">
      <c r="B3" s="2" t="s">
        <v>162</v>
      </c>
    </row>
    <row r="5" customFormat="false" ht="15" hidden="false" customHeight="false" outlineLevel="0" collapsed="false">
      <c r="B5" s="23" t="s">
        <v>163</v>
      </c>
      <c r="C5" s="23" t="s">
        <v>164</v>
      </c>
      <c r="D5" s="23" t="s">
        <v>165</v>
      </c>
    </row>
    <row r="6" customFormat="false" ht="15" hidden="false" customHeight="false" outlineLevel="0" collapsed="false">
      <c r="B6" s="5" t="s">
        <v>166</v>
      </c>
      <c r="C6" s="25" t="n">
        <v>1500000</v>
      </c>
      <c r="D6" s="26" t="s">
        <v>167</v>
      </c>
    </row>
    <row r="7" customFormat="false" ht="15" hidden="false" customHeight="false" outlineLevel="0" collapsed="false">
      <c r="B7" s="5" t="s">
        <v>168</v>
      </c>
      <c r="C7" s="27" t="n">
        <v>0.8</v>
      </c>
      <c r="D7" s="26" t="s">
        <v>169</v>
      </c>
    </row>
    <row r="8" customFormat="false" ht="15" hidden="false" customHeight="false" outlineLevel="0" collapsed="false">
      <c r="B8" s="28" t="s">
        <v>170</v>
      </c>
      <c r="C8" s="29" t="n">
        <f aca="false">C6*C7</f>
        <v>1200000</v>
      </c>
      <c r="D8" s="26" t="s">
        <v>171</v>
      </c>
    </row>
    <row r="9" customFormat="false" ht="15" hidden="false" customHeight="false" outlineLevel="0" collapsed="false">
      <c r="B9" s="5" t="s">
        <v>172</v>
      </c>
      <c r="C9" s="27" t="n">
        <v>0.4</v>
      </c>
      <c r="D9" s="26" t="s">
        <v>173</v>
      </c>
    </row>
    <row r="10" customFormat="false" ht="15" hidden="false" customHeight="false" outlineLevel="0" collapsed="false">
      <c r="B10" s="28" t="s">
        <v>174</v>
      </c>
      <c r="C10" s="29" t="n">
        <f aca="false">C8*C9</f>
        <v>480000</v>
      </c>
      <c r="D10" s="26" t="s">
        <v>175</v>
      </c>
    </row>
    <row r="11" customFormat="false" ht="15" hidden="false" customHeight="false" outlineLevel="0" collapsed="false">
      <c r="B11" s="5" t="s">
        <v>176</v>
      </c>
      <c r="C11" s="27" t="n">
        <v>0.1</v>
      </c>
      <c r="D11" s="26" t="s">
        <v>177</v>
      </c>
    </row>
    <row r="12" customFormat="false" ht="15" hidden="false" customHeight="false" outlineLevel="0" collapsed="false">
      <c r="B12" s="28" t="s">
        <v>178</v>
      </c>
      <c r="C12" s="29" t="n">
        <f aca="false">C8*C11</f>
        <v>120000</v>
      </c>
      <c r="D12" s="26" t="s">
        <v>179</v>
      </c>
    </row>
    <row r="13" customFormat="false" ht="15" hidden="false" customHeight="false" outlineLevel="0" collapsed="false">
      <c r="B13" s="28" t="s">
        <v>180</v>
      </c>
      <c r="C13" s="29" t="n">
        <f aca="false">C10-C12</f>
        <v>360000</v>
      </c>
      <c r="D13" s="26" t="s">
        <v>181</v>
      </c>
    </row>
    <row r="15" customFormat="false" ht="15" hidden="false" customHeight="false" outlineLevel="0" collapsed="false">
      <c r="B15" s="30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2026-10-23T01:59:22Z</dcterms:created>
  <dc:creator>openpyxl</dc:creator>
  <dc:description/>
  <dc:language>en-US</dc:language>
  <cp:lastModifiedBy/>
  <dcterms:modified xsi:type="dcterms:W3CDTF">2026-10-22T20:59:24Z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